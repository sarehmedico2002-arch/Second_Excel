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C790D914-4EF6-4932-8B63-3E586C82956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K24" i="1"/>
  <c r="J24" i="1"/>
  <c r="I24" i="1"/>
  <c r="H24" i="1"/>
  <c r="K23" i="1"/>
  <c r="J23" i="1"/>
  <c r="I23" i="1"/>
  <c r="H23" i="1"/>
  <c r="K22" i="1"/>
  <c r="J22" i="1"/>
  <c r="I22" i="1"/>
  <c r="H22" i="1"/>
  <c r="F24" i="1"/>
  <c r="F23" i="1"/>
  <c r="E24" i="1"/>
  <c r="E23" i="1"/>
  <c r="E22" i="1"/>
  <c r="D24" i="1"/>
  <c r="D23" i="1"/>
  <c r="D22" i="1"/>
  <c r="C23" i="1"/>
  <c r="C24" i="1"/>
  <c r="C22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K4" i="1"/>
  <c r="J4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<sst xmlns="http://schemas.openxmlformats.org/spreadsheetml/2006/main" count="50" uniqueCount="46">
  <si>
    <t>Gradebook</t>
  </si>
  <si>
    <t>Safety Test</t>
  </si>
  <si>
    <t>Company Philosophy Test</t>
  </si>
  <si>
    <t>Financial Skills Test</t>
  </si>
  <si>
    <t>Drug Test</t>
  </si>
  <si>
    <t>Fire Employee</t>
  </si>
  <si>
    <t>Points Possible</t>
  </si>
  <si>
    <t>Last Name</t>
  </si>
  <si>
    <t>First Name</t>
  </si>
  <si>
    <t>Kern</t>
  </si>
  <si>
    <t>Jon</t>
  </si>
  <si>
    <t>Howard</t>
  </si>
  <si>
    <t>Glenda</t>
  </si>
  <si>
    <t>O'Donnald</t>
  </si>
  <si>
    <t>Ron</t>
  </si>
  <si>
    <t>Herndandez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</si>
  <si>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</si>
  <si>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</si>
  <si>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</si>
  <si>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</si>
  <si>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</si>
  <si>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</si>
  <si>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</si>
  <si>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</si>
  <si>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</si>
  <si>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</si>
  <si>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</si>
  <si>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</si>
  <si>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</si>
  <si>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</si>
  <si>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</si>
  <si>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</si>
  <si>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</si>
  <si>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</si>
  <si>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</si>
  <si>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</si>
  <si>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</si>
  <si>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</si>
  <si>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</si>
  <si>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</si>
  <si>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</si>
  <si>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</si>
  <si>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Genesis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</si>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</sst>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Arial"/>
    </font>
    <font>
      <b/>
      <sz val="14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center" textRotation="90"/>
    </xf>
    <xf numFmtId="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Safety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solidFill>
              <a:srgbClr val="538DD5"/>
            </a:solidFill>
            <a:ln>
              <a:noFill/>
            </a:ln>
            <a:effectLst/>
          </c:spPr>
          <c:invertIfNegative val="0"/>
          <c:cat>
            <c:strRef>
              <c:f>Sheet1!A4:A20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9</c:v>
                </c:pt>
                <c:pt idx="6">
                  <c:v>8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8</c:v>
                </c:pt>
                <c:pt idx="12">
                  <c:v>9</c:v>
                </c:pt>
                <c:pt idx="13">
                  <c:v>7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6-4996-A554-A8CEA33C5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63688"/>
        <c:axId val="51465736"/>
      </c:barChart>
      <c:catAx>
        <c:axId val="51463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65736"/>
        <c:crosses val="autoZero"/>
        <c:auto val="1"/>
        <c:lblAlgn val="ctr"/>
        <c:lblOffset val="100"/>
        <c:noMultiLvlLbl val="0"/>
      </c:catAx>
      <c:valAx>
        <c:axId val="5146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6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Company Philosophy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Sheet1!A4:A20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20</c:v>
                </c:pt>
                <c:pt idx="2">
                  <c:v>17</c:v>
                </c:pt>
                <c:pt idx="3">
                  <c:v>10</c:v>
                </c:pt>
                <c:pt idx="4">
                  <c:v>20</c:v>
                </c:pt>
                <c:pt idx="5">
                  <c:v>17</c:v>
                </c:pt>
                <c:pt idx="6">
                  <c:v>20</c:v>
                </c:pt>
                <c:pt idx="7">
                  <c:v>6</c:v>
                </c:pt>
                <c:pt idx="8">
                  <c:v>20</c:v>
                </c:pt>
                <c:pt idx="9">
                  <c:v>20</c:v>
                </c:pt>
                <c:pt idx="10">
                  <c:v>19</c:v>
                </c:pt>
                <c:pt idx="11">
                  <c:v>17</c:v>
                </c:pt>
                <c:pt idx="12">
                  <c:v>19</c:v>
                </c:pt>
                <c:pt idx="13">
                  <c:v>20</c:v>
                </c:pt>
                <c:pt idx="14">
                  <c:v>10</c:v>
                </c:pt>
                <c:pt idx="15">
                  <c:v>20</c:v>
                </c:pt>
                <c:pt idx="1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E-4711-B65E-3DF076649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402504"/>
        <c:axId val="103031816"/>
      </c:barChart>
      <c:catAx>
        <c:axId val="10340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31816"/>
        <c:crosses val="autoZero"/>
        <c:auto val="1"/>
        <c:lblAlgn val="ctr"/>
        <c:lblOffset val="100"/>
        <c:noMultiLvlLbl val="0"/>
      </c:catAx>
      <c:valAx>
        <c:axId val="10303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0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 Skills Test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Sheet1!A4:A20</c:f>
              <c:strCache>
                <c:ptCount val="17"/>
                <c:pt idx="0">
                  <c:v>Kern</c:v>
                </c:pt>
                <c:pt idx="1">
                  <c:v>Howard</c:v>
                </c:pt>
                <c:pt idx="2">
                  <c:v>O'Donnald</c:v>
                </c:pt>
                <c:pt idx="3">
                  <c:v>Herndandez</c:v>
                </c:pt>
                <c:pt idx="4">
                  <c:v>Smith</c:v>
                </c:pt>
                <c:pt idx="5">
                  <c:v>Baker</c:v>
                </c:pt>
                <c:pt idx="6">
                  <c:v>Velinda</c:v>
                </c:pt>
                <c:pt idx="7">
                  <c:v>Carnehan</c:v>
                </c:pt>
                <c:pt idx="8">
                  <c:v>Westerfield</c:v>
                </c:pt>
                <c:pt idx="9">
                  <c:v>Penfold</c:v>
                </c:pt>
                <c:pt idx="10">
                  <c:v>Islington</c:v>
                </c:pt>
                <c:pt idx="11">
                  <c:v>Young</c:v>
                </c:pt>
                <c:pt idx="12">
                  <c:v>Trenton</c:v>
                </c:pt>
                <c:pt idx="13">
                  <c:v>Engleheart</c:v>
                </c:pt>
                <c:pt idx="14">
                  <c:v>Norman</c:v>
                </c:pt>
                <c:pt idx="15">
                  <c:v>Mann</c:v>
                </c:pt>
                <c:pt idx="16">
                  <c:v>Underhill</c:v>
                </c:pt>
              </c:strCache>
            </c:strRef>
          </c:cat>
          <c:val>
            <c:numRef>
              <c:f>Sheet1!$J$4:$J$20</c:f>
              <c:numCache>
                <c:formatCode>0%</c:formatCode>
                <c:ptCount val="17"/>
                <c:pt idx="0">
                  <c:v>0.93</c:v>
                </c:pt>
                <c:pt idx="1">
                  <c:v>1</c:v>
                </c:pt>
                <c:pt idx="2">
                  <c:v>0.82</c:v>
                </c:pt>
                <c:pt idx="3">
                  <c:v>0.73</c:v>
                </c:pt>
                <c:pt idx="4">
                  <c:v>0.59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0.67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0.45</c:v>
                </c:pt>
                <c:pt idx="13">
                  <c:v>0.9</c:v>
                </c:pt>
                <c:pt idx="14">
                  <c:v>0.8</c:v>
                </c:pt>
                <c:pt idx="15">
                  <c:v>0.69</c:v>
                </c:pt>
                <c:pt idx="16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E-4A63-BC16-BB23D8DD4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79976"/>
        <c:axId val="41869320"/>
      </c:barChart>
      <c:catAx>
        <c:axId val="103379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69320"/>
        <c:crosses val="autoZero"/>
        <c:auto val="1"/>
        <c:lblAlgn val="ctr"/>
        <c:lblOffset val="100"/>
        <c:noMultiLvlLbl val="0"/>
      </c:catAx>
      <c:valAx>
        <c:axId val="4186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79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476250</xdr:rowOff>
    </xdr:from>
    <xdr:to>
      <xdr:col>21</xdr:col>
      <xdr:colOff>304800</xdr:colOff>
      <xdr:row>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CADAB-CA94-A9FC-C205-BF4B483CA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10</xdr:row>
      <xdr:rowOff>95250</xdr:rowOff>
    </xdr:from>
    <xdr:to>
      <xdr:col>21</xdr:col>
      <xdr:colOff>304800</xdr:colOff>
      <xdr:row>24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85493-318B-CAB6-0DF8-DAD5405ED4AF}"/>
            </a:ext>
            <a:ext uri="{147F2762-F138-4A5C-976F-8EAC2B608ADB}">
              <a16:predDERef xmlns:a16="http://schemas.microsoft.com/office/drawing/2014/main" pred="{23FCADAB-CA94-A9FC-C205-BF4B483CA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0</xdr:colOff>
      <xdr:row>0</xdr:row>
      <xdr:rowOff>476250</xdr:rowOff>
    </xdr:from>
    <xdr:to>
      <xdr:col>29</xdr:col>
      <xdr:colOff>304800</xdr:colOff>
      <xdr:row>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D39D3F-CBEF-EA5E-9F16-EA6A88CB85BA}"/>
            </a:ext>
            <a:ext uri="{147F2762-F138-4A5C-976F-8EAC2B608ADB}">
              <a16:predDERef xmlns:a16="http://schemas.microsoft.com/office/drawing/2014/main" pred="{B6C85493-318B-CAB6-0DF8-DAD5405ED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topLeftCell="R1" workbookViewId="0">
      <selection activeCell="A4" sqref="A4:A20"/>
    </sheetView>
  </sheetViews>
  <sheetFormatPr defaultRowHeight="15"/>
  <cols>
    <col min="1" max="1" width="14" customWidth="1"/>
    <col min="2" max="2" width="16.85546875" customWidth="1"/>
    <col min="3" max="3" width="8.5703125" customWidth="1"/>
    <col min="4" max="4" width="9.140625" customWidth="1"/>
    <col min="5" max="5" width="9.28515625" customWidth="1"/>
    <col min="6" max="6" width="8" customWidth="1"/>
  </cols>
  <sheetData>
    <row r="1" spans="1:13" ht="135" customHeight="1">
      <c r="A1" s="1" t="s">
        <v>0</v>
      </c>
      <c r="B1" s="2"/>
      <c r="C1" s="4" t="s">
        <v>1</v>
      </c>
      <c r="D1" s="4" t="s">
        <v>2</v>
      </c>
      <c r="E1" s="4" t="s">
        <v>3</v>
      </c>
      <c r="F1" s="4" t="s">
        <v>4</v>
      </c>
      <c r="H1" s="4" t="s">
        <v>1</v>
      </c>
      <c r="I1" s="4" t="s">
        <v>2</v>
      </c>
      <c r="J1" s="4" t="s">
        <v>3</v>
      </c>
      <c r="K1" s="4" t="s">
        <v>4</v>
      </c>
      <c r="M1" s="4" t="s">
        <v>5</v>
      </c>
    </row>
    <row r="2" spans="1:13">
      <c r="A2" s="2"/>
      <c r="B2" s="3" t="s">
        <v>6</v>
      </c>
      <c r="C2" s="2">
        <v>10</v>
      </c>
      <c r="D2" s="2">
        <v>20</v>
      </c>
      <c r="E2" s="2">
        <v>100</v>
      </c>
      <c r="F2" s="2">
        <v>1</v>
      </c>
    </row>
    <row r="3" spans="1:13">
      <c r="A3" s="3" t="s">
        <v>7</v>
      </c>
      <c r="B3" s="3" t="s">
        <v>8</v>
      </c>
      <c r="C3" s="4"/>
      <c r="D3" s="4"/>
      <c r="E3" s="4"/>
      <c r="F3" s="4"/>
    </row>
    <row r="4" spans="1:13">
      <c r="A4" s="2" t="s">
        <v>9</v>
      </c>
      <c r="B4" s="2" t="s">
        <v>10</v>
      </c>
      <c r="C4" s="2">
        <v>10</v>
      </c>
      <c r="D4" s="2">
        <v>19</v>
      </c>
      <c r="E4" s="2">
        <v>93</v>
      </c>
      <c r="F4" s="2">
        <v>1</v>
      </c>
      <c r="H4" s="5">
        <f>C4/C$2</f>
        <v>1</v>
      </c>
      <c r="I4" s="5">
        <f>D4/D$2</f>
        <v>0.95</v>
      </c>
      <c r="J4" s="5">
        <f>E4/E$2</f>
        <v>0.93</v>
      </c>
      <c r="K4" s="5">
        <f>F4/F$2</f>
        <v>1</v>
      </c>
      <c r="M4" t="b">
        <f>OR(H4&lt;0.5,I4&lt;0.5,J4&lt;0.5,K4&lt;0.5)</f>
        <v>0</v>
      </c>
    </row>
    <row r="5" spans="1:13">
      <c r="A5" s="2" t="s">
        <v>11</v>
      </c>
      <c r="B5" s="2" t="s">
        <v>12</v>
      </c>
      <c r="C5" s="2">
        <v>9</v>
      </c>
      <c r="D5" s="2">
        <v>20</v>
      </c>
      <c r="E5" s="2">
        <v>100</v>
      </c>
      <c r="F5" s="2">
        <v>1</v>
      </c>
      <c r="H5" s="5">
        <f>C5/C$2</f>
        <v>0.9</v>
      </c>
      <c r="I5" s="5">
        <f t="shared" ref="I5:I20" si="0">D5/D$2</f>
        <v>1</v>
      </c>
      <c r="J5" s="5">
        <f t="shared" ref="J5:J20" si="1">E5/E$2</f>
        <v>1</v>
      </c>
      <c r="K5" s="5">
        <f t="shared" ref="K5:K20" si="2">F5/F$2</f>
        <v>1</v>
      </c>
      <c r="M5" t="b">
        <f t="shared" ref="M5:M20" si="3">OR(H5&lt;0.5,I5&lt;0.5,J5&lt;0.5,K5&lt;0.5)</f>
        <v>0</v>
      </c>
    </row>
    <row r="6" spans="1:13">
      <c r="A6" s="2" t="s">
        <v>13</v>
      </c>
      <c r="B6" s="2" t="s">
        <v>14</v>
      </c>
      <c r="C6" s="2">
        <v>8</v>
      </c>
      <c r="D6" s="2">
        <v>17</v>
      </c>
      <c r="E6" s="2">
        <v>82</v>
      </c>
      <c r="F6" s="2">
        <v>1</v>
      </c>
      <c r="H6" s="5">
        <f t="shared" ref="H5:H20" si="4">C6/C$2</f>
        <v>0.8</v>
      </c>
      <c r="I6" s="5">
        <f t="shared" si="0"/>
        <v>0.85</v>
      </c>
      <c r="J6" s="5">
        <f t="shared" si="1"/>
        <v>0.82</v>
      </c>
      <c r="K6" s="5">
        <f t="shared" si="2"/>
        <v>1</v>
      </c>
      <c r="M6" t="b">
        <f t="shared" si="3"/>
        <v>0</v>
      </c>
    </row>
    <row r="7" spans="1:13">
      <c r="A7" s="2" t="s">
        <v>15</v>
      </c>
      <c r="B7" s="2" t="s">
        <v>16</v>
      </c>
      <c r="C7" s="2">
        <v>9</v>
      </c>
      <c r="D7" s="2">
        <v>10</v>
      </c>
      <c r="E7" s="2">
        <v>73</v>
      </c>
      <c r="F7" s="2">
        <v>1</v>
      </c>
      <c r="H7" s="5">
        <f t="shared" si="4"/>
        <v>0.9</v>
      </c>
      <c r="I7" s="5">
        <f t="shared" si="0"/>
        <v>0.5</v>
      </c>
      <c r="J7" s="5">
        <f t="shared" si="1"/>
        <v>0.73</v>
      </c>
      <c r="K7" s="5">
        <f t="shared" si="2"/>
        <v>1</v>
      </c>
      <c r="M7" t="b">
        <f t="shared" si="3"/>
        <v>0</v>
      </c>
    </row>
    <row r="8" spans="1:13">
      <c r="A8" s="2" t="s">
        <v>17</v>
      </c>
      <c r="B8" s="2" t="s">
        <v>18</v>
      </c>
      <c r="C8" s="2">
        <v>10</v>
      </c>
      <c r="D8" s="2">
        <v>20</v>
      </c>
      <c r="E8" s="2">
        <v>59</v>
      </c>
      <c r="F8" s="2">
        <v>1</v>
      </c>
      <c r="H8" s="5">
        <f t="shared" si="4"/>
        <v>1</v>
      </c>
      <c r="I8" s="5">
        <f t="shared" si="0"/>
        <v>1</v>
      </c>
      <c r="J8" s="5">
        <f t="shared" si="1"/>
        <v>0.59</v>
      </c>
      <c r="K8" s="5">
        <f t="shared" si="2"/>
        <v>1</v>
      </c>
      <c r="M8" t="b">
        <f t="shared" si="3"/>
        <v>0</v>
      </c>
    </row>
    <row r="9" spans="1:13">
      <c r="A9" s="2" t="s">
        <v>19</v>
      </c>
      <c r="B9" s="2" t="s">
        <v>20</v>
      </c>
      <c r="C9" s="2">
        <v>9</v>
      </c>
      <c r="D9" s="2">
        <v>17</v>
      </c>
      <c r="E9" s="2">
        <v>100</v>
      </c>
      <c r="F9" s="2">
        <v>1</v>
      </c>
      <c r="H9" s="5">
        <f t="shared" si="4"/>
        <v>0.9</v>
      </c>
      <c r="I9" s="5">
        <f t="shared" si="0"/>
        <v>0.85</v>
      </c>
      <c r="J9" s="5">
        <f t="shared" si="1"/>
        <v>1</v>
      </c>
      <c r="K9" s="5">
        <f t="shared" si="2"/>
        <v>1</v>
      </c>
      <c r="M9" t="b">
        <f t="shared" si="3"/>
        <v>0</v>
      </c>
    </row>
    <row r="10" spans="1:13">
      <c r="A10" s="2" t="s">
        <v>21</v>
      </c>
      <c r="B10" s="2" t="s">
        <v>22</v>
      </c>
      <c r="C10" s="2">
        <v>8</v>
      </c>
      <c r="D10" s="2">
        <v>20</v>
      </c>
      <c r="E10" s="2">
        <v>100</v>
      </c>
      <c r="F10" s="2">
        <v>0</v>
      </c>
      <c r="H10" s="5">
        <f t="shared" si="4"/>
        <v>0.8</v>
      </c>
      <c r="I10" s="5">
        <f t="shared" si="0"/>
        <v>1</v>
      </c>
      <c r="J10" s="5">
        <f t="shared" si="1"/>
        <v>1</v>
      </c>
      <c r="K10" s="5">
        <f t="shared" si="2"/>
        <v>0</v>
      </c>
      <c r="M10" t="b">
        <f t="shared" si="3"/>
        <v>1</v>
      </c>
    </row>
    <row r="11" spans="1:13">
      <c r="A11" s="2" t="s">
        <v>23</v>
      </c>
      <c r="B11" s="2" t="s">
        <v>24</v>
      </c>
      <c r="C11" s="2">
        <v>5</v>
      </c>
      <c r="D11" s="2">
        <v>6</v>
      </c>
      <c r="E11" s="2">
        <v>100</v>
      </c>
      <c r="F11" s="2">
        <v>1</v>
      </c>
      <c r="H11" s="5">
        <f t="shared" si="4"/>
        <v>0.5</v>
      </c>
      <c r="I11" s="5">
        <f t="shared" si="0"/>
        <v>0.3</v>
      </c>
      <c r="J11" s="5">
        <f t="shared" si="1"/>
        <v>1</v>
      </c>
      <c r="K11" s="5">
        <f t="shared" si="2"/>
        <v>1</v>
      </c>
      <c r="M11" t="b">
        <f t="shared" si="3"/>
        <v>1</v>
      </c>
    </row>
    <row r="12" spans="1:13">
      <c r="A12" s="2" t="s">
        <v>25</v>
      </c>
      <c r="B12" s="2" t="s">
        <v>26</v>
      </c>
      <c r="C12" s="2">
        <v>10</v>
      </c>
      <c r="D12" s="2">
        <v>20</v>
      </c>
      <c r="E12" s="2">
        <v>67</v>
      </c>
      <c r="F12" s="2">
        <v>1</v>
      </c>
      <c r="H12" s="5">
        <f t="shared" si="4"/>
        <v>1</v>
      </c>
      <c r="I12" s="5">
        <f t="shared" si="0"/>
        <v>1</v>
      </c>
      <c r="J12" s="5">
        <f t="shared" si="1"/>
        <v>0.67</v>
      </c>
      <c r="K12" s="5">
        <f t="shared" si="2"/>
        <v>1</v>
      </c>
      <c r="M12" t="b">
        <f t="shared" si="3"/>
        <v>0</v>
      </c>
    </row>
    <row r="13" spans="1:13">
      <c r="A13" s="2" t="s">
        <v>27</v>
      </c>
      <c r="B13" s="2" t="s">
        <v>28</v>
      </c>
      <c r="C13" s="2">
        <v>9</v>
      </c>
      <c r="D13" s="2">
        <v>20</v>
      </c>
      <c r="E13" s="2">
        <v>70</v>
      </c>
      <c r="F13" s="2">
        <v>1</v>
      </c>
      <c r="H13" s="5">
        <f t="shared" si="4"/>
        <v>0.9</v>
      </c>
      <c r="I13" s="5">
        <f t="shared" si="0"/>
        <v>1</v>
      </c>
      <c r="J13" s="5">
        <f t="shared" si="1"/>
        <v>0.7</v>
      </c>
      <c r="K13" s="5">
        <f t="shared" si="2"/>
        <v>1</v>
      </c>
      <c r="M13" t="b">
        <f t="shared" si="3"/>
        <v>0</v>
      </c>
    </row>
    <row r="14" spans="1:13">
      <c r="A14" s="2" t="s">
        <v>29</v>
      </c>
      <c r="B14" s="2" t="s">
        <v>30</v>
      </c>
      <c r="C14" s="2">
        <v>10</v>
      </c>
      <c r="D14" s="2">
        <v>19</v>
      </c>
      <c r="E14" s="2">
        <v>80</v>
      </c>
      <c r="F14" s="2">
        <v>1</v>
      </c>
      <c r="H14" s="5">
        <f t="shared" si="4"/>
        <v>1</v>
      </c>
      <c r="I14" s="5">
        <f t="shared" si="0"/>
        <v>0.95</v>
      </c>
      <c r="J14" s="5">
        <f t="shared" si="1"/>
        <v>0.8</v>
      </c>
      <c r="K14" s="5">
        <f t="shared" si="2"/>
        <v>1</v>
      </c>
      <c r="M14" t="b">
        <f t="shared" si="3"/>
        <v>0</v>
      </c>
    </row>
    <row r="15" spans="1:13">
      <c r="A15" s="2" t="s">
        <v>31</v>
      </c>
      <c r="B15" s="2" t="s">
        <v>32</v>
      </c>
      <c r="C15" s="2">
        <v>8</v>
      </c>
      <c r="D15" s="2">
        <v>17</v>
      </c>
      <c r="E15" s="2">
        <v>90</v>
      </c>
      <c r="F15" s="2">
        <v>1</v>
      </c>
      <c r="H15" s="5">
        <f t="shared" si="4"/>
        <v>0.8</v>
      </c>
      <c r="I15" s="5">
        <f t="shared" si="0"/>
        <v>0.85</v>
      </c>
      <c r="J15" s="5">
        <f t="shared" si="1"/>
        <v>0.9</v>
      </c>
      <c r="K15" s="5">
        <f t="shared" si="2"/>
        <v>1</v>
      </c>
      <c r="M15" t="b">
        <f t="shared" si="3"/>
        <v>0</v>
      </c>
    </row>
    <row r="16" spans="1:13">
      <c r="A16" s="2" t="s">
        <v>33</v>
      </c>
      <c r="B16" s="2" t="s">
        <v>34</v>
      </c>
      <c r="C16" s="2">
        <v>9</v>
      </c>
      <c r="D16" s="2">
        <v>19</v>
      </c>
      <c r="E16" s="2">
        <v>45</v>
      </c>
      <c r="F16" s="2">
        <v>0</v>
      </c>
      <c r="H16" s="5">
        <f t="shared" si="4"/>
        <v>0.9</v>
      </c>
      <c r="I16" s="5">
        <f t="shared" si="0"/>
        <v>0.95</v>
      </c>
      <c r="J16" s="5">
        <f t="shared" si="1"/>
        <v>0.45</v>
      </c>
      <c r="K16" s="5">
        <f t="shared" si="2"/>
        <v>0</v>
      </c>
      <c r="M16" t="b">
        <f t="shared" si="3"/>
        <v>1</v>
      </c>
    </row>
    <row r="17" spans="1:13">
      <c r="A17" s="2" t="s">
        <v>35</v>
      </c>
      <c r="B17" s="2" t="s">
        <v>36</v>
      </c>
      <c r="C17" s="2">
        <v>7</v>
      </c>
      <c r="D17" s="2">
        <v>20</v>
      </c>
      <c r="E17" s="2">
        <v>90</v>
      </c>
      <c r="F17" s="2">
        <v>1</v>
      </c>
      <c r="H17" s="5">
        <f t="shared" si="4"/>
        <v>0.7</v>
      </c>
      <c r="I17" s="5">
        <f t="shared" si="0"/>
        <v>1</v>
      </c>
      <c r="J17" s="5">
        <f t="shared" si="1"/>
        <v>0.9</v>
      </c>
      <c r="K17" s="5">
        <f t="shared" si="2"/>
        <v>1</v>
      </c>
      <c r="M17" t="b">
        <f t="shared" si="3"/>
        <v>0</v>
      </c>
    </row>
    <row r="18" spans="1:13">
      <c r="A18" s="2" t="s">
        <v>37</v>
      </c>
      <c r="B18" s="2" t="s">
        <v>38</v>
      </c>
      <c r="C18" s="2">
        <v>10</v>
      </c>
      <c r="D18" s="2">
        <v>10</v>
      </c>
      <c r="E18" s="2">
        <v>80</v>
      </c>
      <c r="F18" s="2">
        <v>1</v>
      </c>
      <c r="H18" s="5">
        <f t="shared" si="4"/>
        <v>1</v>
      </c>
      <c r="I18" s="5">
        <f t="shared" si="0"/>
        <v>0.5</v>
      </c>
      <c r="J18" s="5">
        <f t="shared" si="1"/>
        <v>0.8</v>
      </c>
      <c r="K18" s="5">
        <f t="shared" si="2"/>
        <v>1</v>
      </c>
      <c r="M18" t="b">
        <f t="shared" si="3"/>
        <v>0</v>
      </c>
    </row>
    <row r="19" spans="1:13">
      <c r="A19" s="2" t="s">
        <v>39</v>
      </c>
      <c r="B19" s="2" t="s">
        <v>40</v>
      </c>
      <c r="C19" s="2">
        <v>11</v>
      </c>
      <c r="D19" s="2">
        <v>20</v>
      </c>
      <c r="E19" s="2">
        <v>69</v>
      </c>
      <c r="F19" s="2">
        <v>1</v>
      </c>
      <c r="H19" s="5">
        <f t="shared" si="4"/>
        <v>1.1000000000000001</v>
      </c>
      <c r="I19" s="5">
        <f t="shared" si="0"/>
        <v>1</v>
      </c>
      <c r="J19" s="5">
        <f t="shared" si="1"/>
        <v>0.69</v>
      </c>
      <c r="K19" s="5">
        <f t="shared" si="2"/>
        <v>1</v>
      </c>
      <c r="M19" t="b">
        <f t="shared" si="3"/>
        <v>0</v>
      </c>
    </row>
    <row r="20" spans="1:13">
      <c r="A20" s="2" t="s">
        <v>41</v>
      </c>
      <c r="B20" s="2" t="s">
        <v>42</v>
      </c>
      <c r="C20" s="2">
        <v>10</v>
      </c>
      <c r="D20" s="2">
        <v>14</v>
      </c>
      <c r="E20" s="2">
        <v>90</v>
      </c>
      <c r="F20" s="2">
        <v>1</v>
      </c>
      <c r="H20" s="5">
        <f t="shared" si="4"/>
        <v>1</v>
      </c>
      <c r="I20" s="5">
        <f t="shared" si="0"/>
        <v>0.7</v>
      </c>
      <c r="J20" s="5">
        <f t="shared" si="1"/>
        <v>0.9</v>
      </c>
      <c r="K20" s="5">
        <f t="shared" si="2"/>
        <v>1</v>
      </c>
      <c r="M20" t="b">
        <f t="shared" si="3"/>
        <v>0</v>
      </c>
    </row>
    <row r="22" spans="1:13">
      <c r="A22" t="s">
        <v>43</v>
      </c>
      <c r="C22">
        <f>MAX(C4:C20)</f>
        <v>11</v>
      </c>
      <c r="D22">
        <f>MAX(D4:D20)</f>
        <v>20</v>
      </c>
      <c r="E22">
        <f>MAX(E4:E20)</f>
        <v>100</v>
      </c>
      <c r="F22">
        <f>MAX(F4:F20)</f>
        <v>1</v>
      </c>
      <c r="H22" s="5">
        <f>MAX(H4:H20)</f>
        <v>1.1000000000000001</v>
      </c>
      <c r="I22" s="5">
        <f>MAX(I4:I20)</f>
        <v>1</v>
      </c>
      <c r="J22" s="5">
        <f>MAX(J4:J20)</f>
        <v>1</v>
      </c>
      <c r="K22" s="5">
        <f>MAX(K4:K20)</f>
        <v>1</v>
      </c>
    </row>
    <row r="23" spans="1:13">
      <c r="A23" t="s">
        <v>44</v>
      </c>
      <c r="C23">
        <f>MIN(C4:C20)</f>
        <v>5</v>
      </c>
      <c r="D23">
        <f>MIN(D4:D20)</f>
        <v>6</v>
      </c>
      <c r="E23">
        <f>MIN(E4:E20)</f>
        <v>45</v>
      </c>
      <c r="F23">
        <f>MIN(F4:F20)</f>
        <v>0</v>
      </c>
      <c r="H23" s="5">
        <f>MIN(H4:H20)</f>
        <v>0.5</v>
      </c>
      <c r="I23" s="5">
        <f>MIN(I4:I20)</f>
        <v>0.3</v>
      </c>
      <c r="J23" s="5">
        <f>MIN(J4:J20)</f>
        <v>0.45</v>
      </c>
      <c r="K23" s="5">
        <f>MIN(K4:K20)</f>
        <v>0</v>
      </c>
    </row>
    <row r="24" spans="1:13">
      <c r="A24" t="s">
        <v>45</v>
      </c>
      <c r="C24">
        <f>AVERAGE(C4:C20)</f>
        <v>8.9411764705882355</v>
      </c>
      <c r="D24">
        <f>AVERAGE(D4:D20)</f>
        <v>16.941176470588236</v>
      </c>
      <c r="E24">
        <f>AVERAGE(E4:E20)</f>
        <v>81.647058823529406</v>
      </c>
      <c r="F24">
        <f>AVERAGE(F4:F20)</f>
        <v>0.88235294117647056</v>
      </c>
      <c r="H24" s="5">
        <f>AVERAGE(H4:H20)</f>
        <v>0.89411764705882346</v>
      </c>
      <c r="I24" s="5">
        <f>AVERAGE(I4:I20)</f>
        <v>0.84705882352941153</v>
      </c>
      <c r="J24" s="5">
        <f>AVERAGE(J4:J20)</f>
        <v>0.81647058823529417</v>
      </c>
      <c r="K24" s="5">
        <f>AVERAGE(K4:K20)</f>
        <v>0.88235294117647056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2026-09-19T19:36:52Z</dcterms:created>
  <dcterms:modified xsi:type="dcterms:W3CDTF">2026-09-20T11:26:28Z</dcterms:modified>
  <cp:category/>
  <cp:contentStatus/>
</cp:coreProperties>
</file>